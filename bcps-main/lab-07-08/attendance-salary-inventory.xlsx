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27dce2cb1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5d178a8bc45b4543"/>
    <x:sheet xmlns:r="http://schemas.openxmlformats.org/officeDocument/2006/relationships" name="Salary" sheetId="2" r:id="R128f5fcba41240c6"/>
    <x:sheet xmlns:r="http://schemas.openxmlformats.org/officeDocument/2006/relationships" name="Inventory" sheetId="3" r:id="R82f8680d3f93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69937c73d4bdd" /><Relationship Type="http://schemas.openxmlformats.org/officeDocument/2006/relationships/theme" Target="/xl/theme/theme1.xml" Id="R16d13934f69047d2" /><Relationship Type="http://schemas.openxmlformats.org/officeDocument/2006/relationships/sharedStrings" Target="/xl/sharedStrings.xml" Id="Rcb2279c7d02342a2" /><Relationship Type="http://schemas.openxmlformats.org/officeDocument/2006/relationships/worksheet" Target="/xl/worksheets/sheet1.xml" Id="R5d178a8bc45b4543" /><Relationship Type="http://schemas.openxmlformats.org/officeDocument/2006/relationships/worksheet" Target="/xl/worksheets/sheet2.xml" Id="R128f5fcba41240c6" /><Relationship Type="http://schemas.openxmlformats.org/officeDocument/2006/relationships/worksheet" Target="/xl/worksheets/sheet3.xml" Id="R82f8680d3f93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8" customHeight="1">
      <x:c r="A1" s="4" t="str">
        <x:v>Roll no.</x:v>
      </x:c>
      <x:c r="B1" s="4" t="str">
        <x:v>Student</x:v>
      </x:c>
      <x:c r="C1" s="4" t="str">
        <x:v>Monday</x:v>
      </x:c>
      <x:c r="D1" s="4" t="str">
        <x:v>Tuesday</x:v>
      </x:c>
      <x:c r="E1" s="4" t="str">
        <x:v>Wednesday</x:v>
      </x:c>
      <x:c r="F1" s="4" t="str">
        <x:v>Thursday</x:v>
      </x:c>
      <x:c r="G1" s="4" t="str">
        <x:v>Friday</x:v>
      </x:c>
      <x:c r="H1" s="4" t="str">
        <x:v>Present</x:v>
      </x:c>
      <x:c r="I1" s="4" t="str">
        <x:v>Recorded days</x:v>
      </x:c>
      <x:c r="J1" s="4" t="str">
        <x:v>Attendance</x:v>
      </x:c>
    </x:row>
    <x:row r="2" ht="25" customHeight="1">
      <x:c r="A2" s="1" t="n">
        <x:v>1</x:v>
      </x:c>
      <x:c r="B2" s="1" t="str">
        <x:v>Student A</x:v>
      </x:c>
      <x:c r="C2" s="1" t="str">
        <x:v>P</x:v>
      </x:c>
      <x:c r="D2" s="1" t="str">
        <x:v>P</x:v>
      </x:c>
      <x:c r="E2" s="1" t="str">
        <x:v>A</x:v>
      </x:c>
      <x:c r="F2" s="1" t="str">
        <x:v>P</x:v>
      </x:c>
      <x:c r="G2" s="1" t="str">
        <x:v>P</x:v>
      </x:c>
      <x:c r="H2" s="1" t="n">
        <x:f>COUNTIF(C2:G2,"P")</x:f>
        <x:v>4</x:v>
      </x:c>
      <x:c r="I2" s="1" t="n">
        <x:f>COUNTIF(C2:G2,"P")+COUNTIF(C2:G2,"A")</x:f>
        <x:v>5</x:v>
      </x:c>
      <x:c r="J2" s="5" t="n">
        <x:f>IF(I2=0,"",H2/I2)</x:f>
        <x:v>0.8</x:v>
      </x:c>
    </x:row>
    <x:row r="3" ht="25" customHeight="1">
      <x:c r="A3" s="1" t="n">
        <x:v>2</x:v>
      </x:c>
      <x:c r="B3" s="1" t="str">
        <x:v>Student B</x:v>
      </x:c>
      <x:c r="C3" s="1" t="str">
        <x:v>P</x:v>
      </x:c>
      <x:c r="D3" s="1" t="str">
        <x:v>P</x:v>
      </x:c>
      <x:c r="E3" s="1" t="str">
        <x:v>P</x:v>
      </x:c>
      <x:c r="F3" s="1" t="str">
        <x:v>P</x:v>
      </x:c>
      <x:c r="G3" s="1" t="str">
        <x:v>P</x:v>
      </x:c>
      <x:c r="H3" s="1" t="n">
        <x:f>COUNTIF(C3:G3,"P")</x:f>
        <x:v>5</x:v>
      </x:c>
      <x:c r="I3" s="1" t="n">
        <x:f>COUNTIF(C3:G3,"P")+COUNTIF(C3:G3,"A")</x:f>
        <x:v>5</x:v>
      </x:c>
      <x:c r="J3" s="5" t="n">
        <x:f>IF(I3=0,"",H3/I3)</x:f>
        <x:v>1</x:v>
      </x:c>
    </x:row>
    <x:row r="4" ht="25" customHeight="1">
      <x:c r="A4" s="1" t="n">
        <x:v>3</x:v>
      </x:c>
      <x:c r="B4" s="1" t="str">
        <x:v>Student C</x:v>
      </x:c>
      <x:c r="C4" s="1" t="str">
        <x:v>A</x:v>
      </x:c>
      <x:c r="D4" s="1" t="str">
        <x:v>P</x:v>
      </x:c>
      <x:c r="E4" s="1" t="str">
        <x:v>A</x:v>
      </x:c>
      <x:c r="F4" s="1" t="str">
        <x:v>P</x:v>
      </x:c>
      <x:c r="G4" s="1" t="str">
        <x:v>P</x:v>
      </x:c>
      <x:c r="H4" s="1" t="n">
        <x:f>COUNTIF(C4:G4,"P")</x:f>
        <x:v>3</x:v>
      </x:c>
      <x:c r="I4" s="1" t="n">
        <x:f>COUNTIF(C4:G4,"P")+COUNTIF(C4:G4,"A")</x:f>
        <x:v>5</x:v>
      </x:c>
      <x:c r="J4" s="5" t="n">
        <x:f>IF(I4=0,"",H4/I4)</x:f>
        <x:v>0.6</x:v>
      </x:c>
    </x:row>
    <x:row r="5" ht="25" customHeight="1">
      <x:c r="A5" s="1" t="n">
        <x:v>4</x:v>
      </x:c>
      <x:c r="B5" s="1" t="str">
        <x:v>Student D</x:v>
      </x:c>
      <x:c r="C5" s="1" t="str">
        <x:v>P</x:v>
      </x:c>
      <x:c r="D5" s="1" t="str">
        <x:v>A</x:v>
      </x:c>
      <x:c r="E5" s="1" t="str">
        <x:v>P</x:v>
      </x:c>
      <x:c r="F5" s="1" t="str">
        <x:v>P</x:v>
      </x:c>
      <x:c r="G5" s="1" t="str">
        <x:v>A</x:v>
      </x:c>
      <x:c r="H5" s="1" t="n">
        <x:f>COUNTIF(C5:G5,"P")</x:f>
        <x:v>3</x:v>
      </x:c>
      <x:c r="I5" s="1" t="n">
        <x:f>COUNTIF(C5:G5,"P")+COUNTIF(C5:G5,"A")</x:f>
        <x:v>5</x:v>
      </x:c>
      <x:c r="J5" s="5" t="n">
        <x:f>IF(I5=0,"",H5/I5)</x:f>
        <x:v>0.6</x:v>
      </x:c>
    </x:row>
    <x:row r="6" ht="25" customHeight="1">
      <x:c r="A6" s="1" t="n">
        <x:v>5</x:v>
      </x:c>
      <x:c r="B6" s="1" t="str">
        <x:v>Student E</x:v>
      </x:c>
      <x:c r="C6" s="1" t="str">
        <x:v>P</x:v>
      </x:c>
      <x:c r="D6" s="1" t="str">
        <x:v>P</x:v>
      </x:c>
      <x:c r="E6" s="1" t="str">
        <x:v>P</x:v>
      </x:c>
      <x:c r="F6" s="1" t="str">
        <x:v>A</x:v>
      </x:c>
      <x:c r="G6" s="1" t="str">
        <x:v>P</x:v>
      </x:c>
      <x:c r="H6" s="1" t="n">
        <x:f>COUNTIF(C6:G6,"P")</x:f>
        <x:v>4</x:v>
      </x:c>
      <x:c r="I6" s="1" t="n">
        <x:f>COUNTIF(C6:G6,"P")+COUNTIF(C6:G6,"A")</x:f>
        <x:v>5</x:v>
      </x:c>
      <x:c r="J6" s="5" t="n">
        <x:f>IF(I6=0,"",H6/I6)</x:f>
        <x:v>0.8</x:v>
      </x:c>
    </x:row>
    <x:row r="9">
      <x:c r="A9" t="str">
        <x:v>P = present, A = absent. Blank days are not counted. Sample week.</x:v>
      </x:c>
    </x:row>
    <x:row r="11">
      <x:c r="A11" t="str">
        <x:v>Reference: https://books.libreoffice.org/en/CG262/CG26209-FormulasAndFunctions.html</x:v>
      </x:c>
    </x:row>
  </x:sheetData>
  <x:dataValidations count="1">
    <x:dataValidation type="list" sqref="C2:G6">
      <x:formula1>"P,A"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8" customHeight="1">
      <x:c r="A1" s="4" t="str">
        <x:v>Employee ID</x:v>
      </x:c>
      <x:c r="B1" s="4" t="str">
        <x:v>Employee</x:v>
      </x:c>
      <x:c r="C1" s="4" t="str">
        <x:v>Basic (INR)</x:v>
      </x:c>
      <x:c r="D1" s="4" t="str">
        <x:v>HRA rate</x:v>
      </x:c>
      <x:c r="E1" s="4" t="str">
        <x:v>DA rate</x:v>
      </x:c>
      <x:c r="F1" s="4" t="str">
        <x:v>HRA (INR)</x:v>
      </x:c>
      <x:c r="G1" s="4" t="str">
        <x:v>DA (INR)</x:v>
      </x:c>
      <x:c r="H1" s="4" t="str">
        <x:v>Gross (INR)</x:v>
      </x:c>
      <x:c r="I1" s="4" t="str">
        <x:v>Deduction rate</x:v>
      </x:c>
      <x:c r="J1" s="4" t="str">
        <x:v>Deduction (INR)</x:v>
      </x:c>
      <x:c r="K1" s="4" t="str">
        <x:v>Net (INR)</x:v>
      </x:c>
    </x:row>
    <x:row r="2" ht="25" customHeight="1">
      <x:c r="A2" s="1" t="str">
        <x:v>E01</x:v>
      </x:c>
      <x:c r="B2" s="1" t="str">
        <x:v>Employee A</x:v>
      </x:c>
      <x:c r="C2" s="1" t="n">
        <x:v>25000</x:v>
      </x:c>
      <x:c r="D2" s="6" t="n">
        <x:v>0.2</x:v>
      </x:c>
      <x:c r="E2" s="6" t="n">
        <x:v>0.1</x:v>
      </x:c>
      <x:c r="F2" s="1" t="n">
        <x:f>C2*D2</x:f>
        <x:v>5000</x:v>
      </x:c>
      <x:c r="G2" s="1" t="n">
        <x:f>C2*E2</x:f>
        <x:v>2500</x:v>
      </x:c>
      <x:c r="H2" s="1" t="n">
        <x:f>SUM(C2,F2:G2)</x:f>
        <x:v>32500</x:v>
      </x:c>
      <x:c r="I2" s="6" t="n">
        <x:v>0.05</x:v>
      </x:c>
      <x:c r="J2" s="7" t="n">
        <x:f>H2*I2</x:f>
        <x:v>1625</x:v>
      </x:c>
      <x:c r="K2" s="7" t="n">
        <x:f>H2-J2</x:f>
        <x:v>30875</x:v>
      </x:c>
    </x:row>
    <x:row r="3" ht="25" customHeight="1">
      <x:c r="A3" s="1" t="str">
        <x:v>E02</x:v>
      </x:c>
      <x:c r="B3" s="1" t="str">
        <x:v>Employee B</x:v>
      </x:c>
      <x:c r="C3" s="1" t="n">
        <x:v>30000</x:v>
      </x:c>
      <x:c r="D3" s="6" t="n">
        <x:v>0.2</x:v>
      </x:c>
      <x:c r="E3" s="6" t="n">
        <x:v>0.1</x:v>
      </x:c>
      <x:c r="F3" s="1" t="n">
        <x:f>C3*D3</x:f>
        <x:v>6000</x:v>
      </x:c>
      <x:c r="G3" s="1" t="n">
        <x:f>C3*E3</x:f>
        <x:v>3000</x:v>
      </x:c>
      <x:c r="H3" s="1" t="n">
        <x:f>SUM(C3,F3:G3)</x:f>
        <x:v>39000</x:v>
      </x:c>
      <x:c r="I3" s="6" t="n">
        <x:v>0.05</x:v>
      </x:c>
      <x:c r="J3" s="7" t="n">
        <x:f>H3*I3</x:f>
        <x:v>1950</x:v>
      </x:c>
      <x:c r="K3" s="7" t="n">
        <x:f>H3-J3</x:f>
        <x:v>37050</x:v>
      </x:c>
    </x:row>
    <x:row r="4" ht="25" customHeight="1">
      <x:c r="A4" s="1" t="str">
        <x:v>E03</x:v>
      </x:c>
      <x:c r="B4" s="1" t="str">
        <x:v>Employee C</x:v>
      </x:c>
      <x:c r="C4" s="1" t="n">
        <x:v>22000</x:v>
      </x:c>
      <x:c r="D4" s="6" t="n">
        <x:v>0.2</x:v>
      </x:c>
      <x:c r="E4" s="6" t="n">
        <x:v>0.1</x:v>
      </x:c>
      <x:c r="F4" s="1" t="n">
        <x:f>C4*D4</x:f>
        <x:v>4400</x:v>
      </x:c>
      <x:c r="G4" s="1" t="n">
        <x:f>C4*E4</x:f>
        <x:v>2200</x:v>
      </x:c>
      <x:c r="H4" s="1" t="n">
        <x:f>SUM(C4,F4:G4)</x:f>
        <x:v>28600</x:v>
      </x:c>
      <x:c r="I4" s="6" t="n">
        <x:v>0.05</x:v>
      </x:c>
      <x:c r="J4" s="7" t="n">
        <x:f>H4*I4</x:f>
        <x:v>1430</x:v>
      </x:c>
      <x:c r="K4" s="7" t="n">
        <x:f>H4-J4</x:f>
        <x:v>27170</x:v>
      </x:c>
    </x:row>
    <x:row r="7">
      <x:c r="A7" t="str">
        <x:v>Classroom example: deductions are 5% of gross salary, not a statutory payroll model.</x:v>
      </x:c>
    </x:row>
    <x:row r="11">
      <x:c r="A11" t="str">
        <x:v>Reference: https://books.libreoffice.org/en/CG262/CG26209-FormulasAndFunctions.html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8" customHeight="1">
      <x:c r="A1" s="4" t="str">
        <x:v>Item ID</x:v>
      </x:c>
      <x:c r="B1" s="4" t="str">
        <x:v>Item</x:v>
      </x:c>
      <x:c r="C1" s="4" t="str">
        <x:v>Opening stock</x:v>
      </x:c>
      <x:c r="D1" s="4" t="str">
        <x:v>Received</x:v>
      </x:c>
      <x:c r="E1" s="4" t="str">
        <x:v>Issued</x:v>
      </x:c>
      <x:c r="F1" s="4" t="str">
        <x:v>Closing stock</x:v>
      </x:c>
      <x:c r="G1" s="4" t="str">
        <x:v>Unit cost (INR)</x:v>
      </x:c>
      <x:c r="H1" s="4" t="str">
        <x:v>Stock value (INR)</x:v>
      </x:c>
      <x:c r="I1" s="4" t="str">
        <x:v>Reorder level</x:v>
      </x:c>
    </x:row>
    <x:row r="2" ht="25" customHeight="1">
      <x:c r="A2" s="1" t="str">
        <x:v>I01</x:v>
      </x:c>
      <x:c r="B2" s="1" t="str">
        <x:v>Notebook</x:v>
      </x:c>
      <x:c r="C2" s="1" t="n">
        <x:v>50</x:v>
      </x:c>
      <x:c r="D2" s="1" t="n">
        <x:v>20</x:v>
      </x:c>
      <x:c r="E2" s="1" t="n">
        <x:v>30</x:v>
      </x:c>
      <x:c r="F2" s="1" t="n">
        <x:f>C2+D2-E2</x:f>
        <x:v>40</x:v>
      </x:c>
      <x:c r="G2" s="1" t="n">
        <x:v>40</x:v>
      </x:c>
      <x:c r="H2" s="1" t="n">
        <x:f>F2*G2</x:f>
        <x:v>1600</x:v>
      </x:c>
      <x:c r="I2" s="1" t="n">
        <x:v>20</x:v>
      </x:c>
    </x:row>
    <x:row r="3" ht="25" customHeight="1">
      <x:c r="A3" s="1" t="str">
        <x:v>I02</x:v>
      </x:c>
      <x:c r="B3" s="1" t="str">
        <x:v>Pen</x:v>
      </x:c>
      <x:c r="C3" s="1" t="n">
        <x:v>100</x:v>
      </x:c>
      <x:c r="D3" s="1" t="n">
        <x:v>50</x:v>
      </x:c>
      <x:c r="E3" s="1" t="n">
        <x:v>130</x:v>
      </x:c>
      <x:c r="F3" s="1" t="n">
        <x:f>C3+D3-E3</x:f>
        <x:v>20</x:v>
      </x:c>
      <x:c r="G3" s="1" t="n">
        <x:v>10</x:v>
      </x:c>
      <x:c r="H3" s="1" t="n">
        <x:f>F3*G3</x:f>
        <x:v>200</x:v>
      </x:c>
      <x:c r="I3" s="1" t="n">
        <x:v>25</x:v>
      </x:c>
    </x:row>
    <x:row r="4" ht="25" customHeight="1">
      <x:c r="A4" s="1" t="str">
        <x:v>I03</x:v>
      </x:c>
      <x:c r="B4" s="1" t="str">
        <x:v>Folder</x:v>
      </x:c>
      <x:c r="C4" s="1" t="n">
        <x:v>30</x:v>
      </x:c>
      <x:c r="D4" s="1" t="n">
        <x:v>10</x:v>
      </x:c>
      <x:c r="E4" s="1" t="n">
        <x:v>15</x:v>
      </x:c>
      <x:c r="F4" s="1" t="n">
        <x:f>C4+D4-E4</x:f>
        <x:v>25</x:v>
      </x:c>
      <x:c r="G4" s="1" t="n">
        <x:v>25</x:v>
      </x:c>
      <x:c r="H4" s="1" t="n">
        <x:f>F4*G4</x:f>
        <x:v>625</x:v>
      </x:c>
      <x:c r="I4" s="1" t="n">
        <x:v>10</x:v>
      </x:c>
    </x:row>
    <x:row r="7">
      <x:c r="A7" t="str">
        <x:v>Sample stock. Yellow closing stock indicates quantity below its reorder level.</x:v>
      </x:c>
    </x:row>
    <x:row r="11">
      <x:c r="A11" t="str">
        <x:v>Reference: https://books.libreoffice.org/en/CG262/CG26209-FormulasAndFunctions.html</x:v>
      </x:c>
    </x:row>
  </x:sheetData>
  <x:conditionalFormatting sqref="F2:F4">
    <x:cfRule type="expression" dxfId="0" priority="1">
      <x:formula>F2&lt;I2</x:formula>
    </x:cfRule>
  </x:conditionalFormatting>
  <x:pageMargins left="0.7" right="0.7" top="0.75" bottom="0.75" header="0.3" footer="0.3"/>
</x:worksheet>
</file>